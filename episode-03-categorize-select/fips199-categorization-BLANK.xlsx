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IPS 199" sheetId="1" state="visible" r:id="rId1"/>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FFFFFF"/>
      <sz val="15"/>
    </font>
    <font>
      <name val="Calibri"/>
      <i val="1"/>
      <color rgb="005F6A60"/>
      <sz val="10"/>
    </font>
    <font>
      <name val="Calibri"/>
      <b val="1"/>
      <color rgb="00FFFFFF"/>
      <sz val="10"/>
    </font>
    <font>
      <name val="Calibri"/>
      <color rgb="00000000"/>
      <sz val="10"/>
    </font>
    <font>
      <name val="Calibri"/>
      <b val="1"/>
      <color rgb="00173029"/>
      <sz val="12"/>
    </font>
    <font>
      <name val="Calibri"/>
      <b val="1"/>
      <color rgb="00000000"/>
      <sz val="10"/>
    </font>
    <font>
      <name val="Calibri"/>
      <b val="1"/>
      <color rgb="00FFFFFF"/>
      <sz val="12"/>
    </font>
    <font>
      <name val="Calibri"/>
      <b val="1"/>
      <color rgb="008C4A34"/>
      <sz val="12"/>
    </font>
  </fonts>
  <fills count="6">
    <fill>
      <patternFill/>
    </fill>
    <fill>
      <patternFill patternType="gray125"/>
    </fill>
    <fill>
      <patternFill patternType="solid">
        <fgColor rgb="00173029"/>
      </patternFill>
    </fill>
    <fill>
      <patternFill patternType="solid">
        <fgColor rgb="002E5E4E"/>
      </patternFill>
    </fill>
    <fill>
      <patternFill patternType="solid">
        <fgColor rgb="00F5F7F2"/>
      </patternFill>
    </fill>
    <fill>
      <patternFill patternType="solid">
        <fgColor rgb="008C4A34"/>
      </patternFill>
    </fill>
  </fills>
  <borders count="2">
    <border>
      <left/>
      <right/>
      <top/>
      <bottom/>
      <diagonal/>
    </border>
    <border>
      <left style="thin">
        <color rgb="00C6D0C2"/>
      </left>
      <right style="thin">
        <color rgb="00C6D0C2"/>
      </right>
      <top style="thin">
        <color rgb="00C6D0C2"/>
      </top>
      <bottom style="thin">
        <color rgb="00C6D0C2"/>
      </bottom>
    </border>
  </borders>
  <cellStyleXfs count="1">
    <xf numFmtId="0" fontId="0" fillId="0" borderId="0"/>
  </cellStyleXfs>
  <cellXfs count="14">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3" borderId="1" applyAlignment="1" pivotButton="0" quotePrefix="0" xfId="0">
      <alignment horizontal="center" vertical="center" wrapText="1"/>
    </xf>
    <xf numFmtId="0" fontId="4" fillId="0" borderId="1" applyAlignment="1" pivotButton="0" quotePrefix="0" xfId="0">
      <alignment horizontal="left" vertical="top" wrapText="1"/>
    </xf>
    <xf numFmtId="0"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4" fillId="4" borderId="1" applyAlignment="1" pivotButton="0" quotePrefix="0" xfId="0">
      <alignment horizontal="center" vertical="top" wrapText="1"/>
    </xf>
    <xf numFmtId="0" fontId="5" fillId="0" borderId="0" pivotButton="0" quotePrefix="0" xfId="0"/>
    <xf numFmtId="0" fontId="6" fillId="0" borderId="1" applyAlignment="1" pivotButton="0" quotePrefix="0" xfId="0">
      <alignment horizontal="left" vertical="top" wrapText="1"/>
    </xf>
    <xf numFmtId="0" fontId="6" fillId="0" borderId="1" applyAlignment="1" pivotButton="0" quotePrefix="0" xfId="0">
      <alignment horizontal="center" vertical="top" wrapText="1"/>
    </xf>
    <xf numFmtId="0" fontId="7" fillId="5" borderId="0" pivotButton="0" quotePrefix="0" xfId="0"/>
    <xf numFmtId="0" fontId="8" fillId="0" borderId="0" applyAlignment="1" pivotButton="0" quotePrefix="0" xfId="0">
      <alignment horizontal="center"/>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6" customWidth="1" min="3" max="3"/>
    <col width="14" customWidth="1" min="4" max="4"/>
    <col width="14" customWidth="1" min="5" max="5"/>
    <col width="40" customWidth="1" min="6" max="6"/>
  </cols>
  <sheetData>
    <row r="1" ht="30" customHeight="1">
      <c r="A1" s="1" t="inlineStr">
        <is>
          <t>FIPS 199 Categorisation: (your system here)</t>
        </is>
      </c>
    </row>
    <row r="2">
      <c r="A2" s="2" t="inlineStr">
        <is>
          <t>Fill in the information types your chosen system handles, rate each for Confidentiality, Integrity, Availability, and the system takes the highest of each (the high-water mark).</t>
        </is>
      </c>
    </row>
    <row r="4" ht="30" customHeight="1">
      <c r="A4" s="3" t="inlineStr">
        <is>
          <t>Information type</t>
        </is>
      </c>
      <c r="B4" s="3" t="inlineStr">
        <is>
          <t>What it is</t>
        </is>
      </c>
      <c r="C4" s="3" t="inlineStr">
        <is>
          <t>Confidentiality</t>
        </is>
      </c>
      <c r="D4" s="3" t="inlineStr">
        <is>
          <t>Integrity</t>
        </is>
      </c>
      <c r="E4" s="3" t="inlineStr">
        <is>
          <t>Availability</t>
        </is>
      </c>
      <c r="F4" s="3" t="inlineStr">
        <is>
          <t>Rationale</t>
        </is>
      </c>
    </row>
    <row r="5">
      <c r="A5" s="4" t="inlineStr"/>
      <c r="B5" s="4" t="inlineStr"/>
      <c r="C5" s="5" t="inlineStr"/>
      <c r="D5" s="5" t="inlineStr"/>
      <c r="E5" s="5" t="inlineStr"/>
      <c r="F5" s="4" t="inlineStr"/>
    </row>
    <row r="6">
      <c r="A6" s="6" t="inlineStr"/>
      <c r="B6" s="6" t="inlineStr"/>
      <c r="C6" s="7" t="inlineStr"/>
      <c r="D6" s="7" t="inlineStr"/>
      <c r="E6" s="7" t="inlineStr"/>
      <c r="F6" s="6" t="inlineStr"/>
    </row>
    <row r="7">
      <c r="A7" s="4" t="inlineStr"/>
      <c r="B7" s="4" t="inlineStr"/>
      <c r="C7" s="5" t="inlineStr"/>
      <c r="D7" s="5" t="inlineStr"/>
      <c r="E7" s="5" t="inlineStr"/>
      <c r="F7" s="4" t="inlineStr"/>
    </row>
    <row r="8">
      <c r="A8" s="6" t="inlineStr"/>
      <c r="B8" s="6" t="inlineStr"/>
      <c r="C8" s="7" t="inlineStr"/>
      <c r="D8" s="7" t="inlineStr"/>
      <c r="E8" s="7" t="inlineStr"/>
      <c r="F8" s="6" t="inlineStr"/>
    </row>
    <row r="10">
      <c r="A10" s="8" t="inlineStr">
        <is>
          <t>System categorisation (high-water mark)</t>
        </is>
      </c>
    </row>
    <row r="11">
      <c r="A11" s="9" t="inlineStr">
        <is>
          <t>Confidentiality</t>
        </is>
      </c>
      <c r="B11" s="10">
        <f>IF(COUNTIF(C5:C8,"High"),"High",IF(COUNTIF(C5:C8,"Moderate"),"Moderate",IF(COUNTIF(C5:C8,"Low"),"Low","")))</f>
        <v/>
      </c>
    </row>
    <row r="12">
      <c r="A12" s="9" t="inlineStr">
        <is>
          <t>Integrity</t>
        </is>
      </c>
      <c r="B12" s="10">
        <f>IF(COUNTIF(D5:D8,"High"),"High",IF(COUNTIF(D5:D8,"Moderate"),"Moderate",IF(COUNTIF(D5:D8,"Low"),"Low","")))</f>
        <v/>
      </c>
    </row>
    <row r="13">
      <c r="A13" s="9" t="inlineStr">
        <is>
          <t>Availability</t>
        </is>
      </c>
      <c r="B13" s="10">
        <f>IF(COUNTIF(E5:E8,"High"),"High",IF(COUNTIF(E5:E8,"Moderate"),"Moderate",IF(COUNTIF(E5:E8,"Low"),"Low","")))</f>
        <v/>
      </c>
    </row>
    <row r="15">
      <c r="A15" s="11" t="inlineStr">
        <is>
          <t>OVERALL SYSTEM IMPACT</t>
        </is>
      </c>
      <c r="B15" s="12">
        <f>IF(OR(B11="High",B12="High",B13="High"),"HIGH",IF(OR(B11="Moderate",B12="Moderate",B13="Moderate"),"MODERATE",IF(OR(B11="Low",B12="Low",B13="Low"),"LOW","")))</f>
        <v/>
      </c>
    </row>
    <row r="17" ht="60" customHeight="1">
      <c r="A17" s="13" t="inlineStr">
        <is>
          <t>Fill the rows above with the information types your system handles, then rate each one. The overall impact is the highest single rating across all of them. Write your reason in the Rationale column, especially anywhere you scope a rating down because the sensitive copy lives in another system. That reasoning is the point of the exercise. The overall result then drives which SP 800-53B baseline you start from.</t>
        </is>
      </c>
    </row>
    <row r="18"/>
    <row r="19"/>
  </sheetData>
  <mergeCells count="3">
    <mergeCell ref="A2:F2"/>
    <mergeCell ref="A17:F19"/>
    <mergeCell ref="A1:F1"/>
  </mergeCells>
  <dataValidations count="1">
    <dataValidation sqref="C5:E8" showDropDown="0" showInputMessage="0" showErrorMessage="0" allowBlank="1" type="list">
      <formula1>"Low,Moderate,High"</formula1>
    </dataValidation>
  </dataValidations>
  <pageMargins left="0.75" right="0.75" top="1" bottom="1" header="0.5" footer="0.5"/>
  <headerFooter>
    <oddHeader/>
    <oddFooter>&amp;LField Notes Lab  -  fictional, for teaching&amp;COmar Mahdy&amp;R&amp;P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Omar Mahdy</dc:creator>
  <dc:title xmlns:dc="http://purl.org/dc/elements/1.1/">Field Notes Lab</dc:title>
  <dc:description xmlns:dc="http://purl.org/dc/elements/1.1/">Fictional teaching artifact by Omar Mahdy, Field Notes. Meridian Pay is invented; the NIST structure is real. Not real security advice.</dc:description>
  <dc:subject xmlns:dc="http://purl.org/dc/elements/1.1/">Field Notes Lab (fictional Meridian Pay) - NIST practice artifact</dc:subject>
  <dcterms:created xmlns:dcterms="http://purl.org/dc/terms/" xmlns:xsi="http://www.w3.org/2001/XMLSchema-instance" xsi:type="dcterms:W3CDTF">2026-07-03T13:03:50Z</dcterms:created>
  <dcterms:modified xmlns:dcterms="http://purl.org/dc/terms/" xmlns:xsi="http://www.w3.org/2001/XMLSchema-instance" xsi:type="dcterms:W3CDTF">2026-07-03T13:03:50Z</dcterms:modified>
  <cp:lastModifiedBy>Omar Mahdy</cp:lastModifiedBy>
  <cp:category>Field Notes Lab</cp:category>
  <cp:keywords>NIST, CSF, RMF, FIPS 199, SP 800-53, Field Notes, Omar Mahdy</cp:keywords>
</cp:coreProperties>
</file>