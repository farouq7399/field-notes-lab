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PS 199" sheetId="1" state="visible" r:id="rId1"/>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5"/>
    </font>
    <font>
      <name val="Calibri"/>
      <i val="1"/>
      <color rgb="005F6A60"/>
      <sz val="10"/>
    </font>
    <font>
      <name val="Calibri"/>
      <b val="1"/>
      <color rgb="00FFFFFF"/>
      <sz val="10"/>
    </font>
    <font>
      <name val="Calibri"/>
      <color rgb="00000000"/>
      <sz val="10"/>
    </font>
    <font>
      <name val="Calibri"/>
      <b val="1"/>
      <color rgb="00173029"/>
      <sz val="12"/>
    </font>
    <font>
      <name val="Calibri"/>
      <b val="1"/>
      <color rgb="00000000"/>
      <sz val="10"/>
    </font>
    <font>
      <name val="Calibri"/>
      <b val="1"/>
      <color rgb="00FFFFFF"/>
      <sz val="12"/>
    </font>
    <font>
      <name val="Calibri"/>
      <b val="1"/>
      <color rgb="008C4A34"/>
      <sz val="12"/>
    </font>
  </fonts>
  <fills count="6">
    <fill>
      <patternFill/>
    </fill>
    <fill>
      <patternFill patternType="gray125"/>
    </fill>
    <fill>
      <patternFill patternType="solid">
        <fgColor rgb="00173029"/>
      </patternFill>
    </fill>
    <fill>
      <patternFill patternType="solid">
        <fgColor rgb="002E5E4E"/>
      </patternFill>
    </fill>
    <fill>
      <patternFill patternType="solid">
        <fgColor rgb="00F5F7F2"/>
      </patternFill>
    </fill>
    <fill>
      <patternFill patternType="solid">
        <fgColor rgb="008C4A34"/>
      </patternFill>
    </fill>
  </fills>
  <borders count="2">
    <border>
      <left/>
      <right/>
      <top/>
      <bottom/>
      <diagonal/>
    </border>
    <border>
      <left style="thin">
        <color rgb="00C6D0C2"/>
      </left>
      <right style="thin">
        <color rgb="00C6D0C2"/>
      </right>
      <top style="thin">
        <color rgb="00C6D0C2"/>
      </top>
      <bottom style="thin">
        <color rgb="00C6D0C2"/>
      </bottom>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left" vertical="center" indent="1"/>
    </xf>
    <xf numFmtId="0" fontId="2" fillId="0" borderId="0" pivotButton="0" quotePrefix="0" xfId="0"/>
    <xf numFmtId="0" fontId="3" fillId="3" borderId="1" applyAlignment="1" pivotButton="0" quotePrefix="0" xfId="0">
      <alignment horizontal="center" vertical="center" wrapText="1"/>
    </xf>
    <xf numFmtId="0" fontId="4" fillId="0" borderId="1" applyAlignment="1" pivotButton="0" quotePrefix="0" xfId="0">
      <alignment horizontal="left" vertical="top" wrapText="1"/>
    </xf>
    <xf numFmtId="0" fontId="4" fillId="0" borderId="1" applyAlignment="1" pivotButton="0" quotePrefix="0" xfId="0">
      <alignment horizontal="center" vertical="top" wrapText="1"/>
    </xf>
    <xf numFmtId="0" fontId="4" fillId="4" borderId="1" applyAlignment="1" pivotButton="0" quotePrefix="0" xfId="0">
      <alignment horizontal="left" vertical="top" wrapText="1"/>
    </xf>
    <xf numFmtId="0" fontId="4" fillId="4" borderId="1" applyAlignment="1" pivotButton="0" quotePrefix="0" xfId="0">
      <alignment horizontal="center" vertical="top" wrapText="1"/>
    </xf>
    <xf numFmtId="0" fontId="5" fillId="0" borderId="0" pivotButton="0" quotePrefix="0" xfId="0"/>
    <xf numFmtId="0" fontId="6" fillId="0" borderId="1" applyAlignment="1" pivotButton="0" quotePrefix="0" xfId="0">
      <alignment horizontal="left" vertical="top" wrapText="1"/>
    </xf>
    <xf numFmtId="0" fontId="6" fillId="0" borderId="1" applyAlignment="1" pivotButton="0" quotePrefix="0" xfId="0">
      <alignment horizontal="center" vertical="top" wrapText="1"/>
    </xf>
    <xf numFmtId="0" fontId="7" fillId="5" borderId="0" pivotButton="0" quotePrefix="0" xfId="0"/>
    <xf numFmtId="0" fontId="8" fillId="0" borderId="0" applyAlignment="1" pivotButton="0" quotePrefix="0" xfId="0">
      <alignment horizontal="center"/>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16" customWidth="1" min="3" max="3"/>
    <col width="14" customWidth="1" min="4" max="4"/>
    <col width="14" customWidth="1" min="5" max="5"/>
    <col width="40" customWidth="1" min="6" max="6"/>
  </cols>
  <sheetData>
    <row r="1" ht="30" customHeight="1">
      <c r="A1" s="1" t="inlineStr">
        <is>
          <t>Meridian Pay  -  FIPS 199 Categorisation: Customer Web Portal (S2)</t>
        </is>
      </c>
    </row>
    <row r="2">
      <c r="A2" s="2" t="inlineStr">
        <is>
          <t>Rate each information type for Confidentiality, Integrity, Availability. The system takes the highest of each (the high-water mark).</t>
        </is>
      </c>
    </row>
    <row r="4" ht="30" customHeight="1">
      <c r="A4" s="3" t="inlineStr">
        <is>
          <t>Information type</t>
        </is>
      </c>
      <c r="B4" s="3" t="inlineStr">
        <is>
          <t>What it is</t>
        </is>
      </c>
      <c r="C4" s="3" t="inlineStr">
        <is>
          <t>Confidentiality</t>
        </is>
      </c>
      <c r="D4" s="3" t="inlineStr">
        <is>
          <t>Integrity</t>
        </is>
      </c>
      <c r="E4" s="3" t="inlineStr">
        <is>
          <t>Availability</t>
        </is>
      </c>
      <c r="F4" s="3" t="inlineStr">
        <is>
          <t>Rationale</t>
        </is>
      </c>
    </row>
    <row r="5">
      <c r="A5" s="4" t="inlineStr">
        <is>
          <t>Customer profile data shown in portal</t>
        </is>
      </c>
      <c r="B5" s="4" t="inlineStr">
        <is>
          <t>name, contact, masked account details</t>
        </is>
      </c>
      <c r="C5" s="5" t="inlineStr">
        <is>
          <t>Moderate</t>
        </is>
      </c>
      <c r="D5" s="5" t="inlineStr">
        <is>
          <t>Moderate</t>
        </is>
      </c>
      <c r="E5" s="5" t="inlineStr">
        <is>
          <t>Moderate</t>
        </is>
      </c>
      <c r="F5" s="4" t="inlineStr"/>
    </row>
    <row r="6">
      <c r="A6" s="6" t="inlineStr">
        <is>
          <t>Account balances and history (displayed)</t>
        </is>
      </c>
      <c r="B6" s="6" t="inlineStr">
        <is>
          <t>read from Core Banking, shown to the customer</t>
        </is>
      </c>
      <c r="C6" s="7" t="inlineStr">
        <is>
          <t>Moderate</t>
        </is>
      </c>
      <c r="D6" s="7" t="inlineStr">
        <is>
          <t>Moderate</t>
        </is>
      </c>
      <c r="E6" s="7" t="inlineStr">
        <is>
          <t>Moderate</t>
        </is>
      </c>
      <c r="F6" s="6" t="inlineStr"/>
    </row>
    <row r="7">
      <c r="A7" s="4" t="inlineStr">
        <is>
          <t>Session and login tokens</t>
        </is>
      </c>
      <c r="B7" s="4" t="inlineStr">
        <is>
          <t>who is logged in right now</t>
        </is>
      </c>
      <c r="C7" s="5" t="inlineStr">
        <is>
          <t>Moderate</t>
        </is>
      </c>
      <c r="D7" s="5" t="inlineStr">
        <is>
          <t>Moderate</t>
        </is>
      </c>
      <c r="E7" s="5" t="inlineStr">
        <is>
          <t>Moderate</t>
        </is>
      </c>
      <c r="F7" s="4" t="inlineStr"/>
    </row>
    <row r="8">
      <c r="A8" s="6" t="inlineStr">
        <is>
          <t>Portal content and configuration</t>
        </is>
      </c>
      <c r="B8" s="6" t="inlineStr">
        <is>
          <t>the pages and settings themselves</t>
        </is>
      </c>
      <c r="C8" s="7" t="inlineStr">
        <is>
          <t>Low</t>
        </is>
      </c>
      <c r="D8" s="7" t="inlineStr">
        <is>
          <t>Moderate</t>
        </is>
      </c>
      <c r="E8" s="7" t="inlineStr">
        <is>
          <t>Moderate</t>
        </is>
      </c>
      <c r="F8" s="6" t="inlineStr"/>
    </row>
    <row r="10">
      <c r="A10" s="8" t="inlineStr">
        <is>
          <t>System categorisation (high-water mark)</t>
        </is>
      </c>
    </row>
    <row r="11">
      <c r="A11" s="9" t="inlineStr">
        <is>
          <t>Confidentiality</t>
        </is>
      </c>
      <c r="B11" s="10">
        <f>IF(COUNTIF(C5:C8,"High"),"High",IF(COUNTIF(C5:C8,"Moderate"),"Moderate",IF(COUNTIF(C5:C8,"Low"),"Low","")))</f>
        <v/>
      </c>
    </row>
    <row r="12">
      <c r="A12" s="9" t="inlineStr">
        <is>
          <t>Integrity</t>
        </is>
      </c>
      <c r="B12" s="10">
        <f>IF(COUNTIF(D5:D8,"High"),"High",IF(COUNTIF(D5:D8,"Moderate"),"Moderate",IF(COUNTIF(D5:D8,"Low"),"Low","")))</f>
        <v/>
      </c>
    </row>
    <row r="13">
      <c r="A13" s="9" t="inlineStr">
        <is>
          <t>Availability</t>
        </is>
      </c>
      <c r="B13" s="10">
        <f>IF(COUNTIF(E5:E8,"High"),"High",IF(COUNTIF(E5:E8,"Moderate"),"Moderate",IF(COUNTIF(E5:E8,"Low"),"Low","")))</f>
        <v/>
      </c>
    </row>
    <row r="15">
      <c r="A15" s="11" t="inlineStr">
        <is>
          <t>OVERALL SYSTEM IMPACT</t>
        </is>
      </c>
      <c r="B15" s="12">
        <f>IF(OR(B11="High",B12="High",B13="High"),"HIGH",IF(OR(B11="Moderate",B12="Moderate",B13="Moderate"),"MODERATE",IF(OR(B11="Low",B12="Low",B13="Low"),"LOW","")))</f>
        <v/>
      </c>
    </row>
    <row r="17" ht="60" customHeight="1">
      <c r="A17" s="13" t="inlineStr">
        <is>
          <t>Why Moderate and not High: the portal shows masked and limited data and hands sensitive operations to the Core Banking system. Its own boundary is Moderate. The authoritative account data (High) is categorised separately with Core Banking (S3). This scoping choice is the whole reason a categorisation is written down: so the sign-off is about a defined boundary, not a vague feeling. The Moderate result drives the SP 800-53B Moderate baseline you tailor in the control-selection workbook.</t>
        </is>
      </c>
    </row>
    <row r="18"/>
    <row r="19"/>
  </sheetData>
  <mergeCells count="3">
    <mergeCell ref="A2:F2"/>
    <mergeCell ref="A17:F19"/>
    <mergeCell ref="A1:F1"/>
  </mergeCells>
  <dataValidations count="1">
    <dataValidation sqref="C5:E8" showDropDown="0" showInputMessage="0" showErrorMessage="0" allowBlank="1" type="list">
      <formula1>"Low,Moderate,High"</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2026-07-03T11:52:54Z</dcterms:created>
  <dcterms:modified xmlns:dcterms="http://purl.org/dc/terms/" xmlns:xsi="http://www.w3.org/2001/XMLSchema-instance" xsi:type="dcterms:W3CDTF">2026-07-03T11:52:54Z</dcterms:modified>
</cp:coreProperties>
</file>