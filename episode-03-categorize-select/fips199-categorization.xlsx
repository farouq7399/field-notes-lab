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PS 199"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5"/>
    </font>
    <font>
      <name val="Calibri"/>
      <i val="1"/>
      <color rgb="005F6A60"/>
      <sz val="10"/>
    </font>
    <font>
      <name val="Calibri"/>
      <b val="1"/>
      <color rgb="00FFFFFF"/>
      <sz val="10"/>
    </font>
    <font>
      <name val="Calibri"/>
      <color rgb="00000000"/>
      <sz val="10"/>
    </font>
    <font>
      <name val="Calibri"/>
      <b val="1"/>
      <color rgb="00173029"/>
      <sz val="12"/>
    </font>
    <font>
      <name val="Calibri"/>
      <b val="1"/>
      <color rgb="00000000"/>
      <sz val="10"/>
    </font>
    <font>
      <name val="Calibri"/>
      <b val="1"/>
      <color rgb="00FFFFFF"/>
      <sz val="12"/>
    </font>
    <font>
      <name val="Calibri"/>
      <b val="1"/>
      <color rgb="008C4A34"/>
      <sz val="12"/>
    </font>
  </fonts>
  <fills count="6">
    <fill>
      <patternFill/>
    </fill>
    <fill>
      <patternFill patternType="gray125"/>
    </fill>
    <fill>
      <patternFill patternType="solid">
        <fgColor rgb="00173029"/>
      </patternFill>
    </fill>
    <fill>
      <patternFill patternType="solid">
        <fgColor rgb="002E5E4E"/>
      </patternFill>
    </fill>
    <fill>
      <patternFill patternType="solid">
        <fgColor rgb="00F5F7F2"/>
      </patternFill>
    </fill>
    <fill>
      <patternFill patternType="solid">
        <fgColor rgb="008C4A34"/>
      </patternFill>
    </fill>
  </fills>
  <borders count="2">
    <border>
      <left/>
      <right/>
      <top/>
      <bottom/>
      <diagonal/>
    </border>
    <border>
      <left style="thin">
        <color rgb="00C6D0C2"/>
      </left>
      <right style="thin">
        <color rgb="00C6D0C2"/>
      </right>
      <top style="thin">
        <color rgb="00C6D0C2"/>
      </top>
      <bottom style="thin">
        <color rgb="00C6D0C2"/>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3"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0" fontId="5" fillId="0" borderId="0" pivotButton="0" quotePrefix="0" xfId="0"/>
    <xf numFmtId="0" fontId="6" fillId="0" borderId="1" applyAlignment="1" pivotButton="0" quotePrefix="0" xfId="0">
      <alignment horizontal="left" vertical="top" wrapText="1"/>
    </xf>
    <xf numFmtId="0" fontId="6" fillId="0" borderId="1" applyAlignment="1" pivotButton="0" quotePrefix="0" xfId="0">
      <alignment horizontal="center" vertical="top" wrapText="1"/>
    </xf>
    <xf numFmtId="0" fontId="7" fillId="5" borderId="0" pivotButton="0" quotePrefix="0" xfId="0"/>
    <xf numFmtId="0" fontId="8" fillId="0" borderId="0" applyAlignment="1" pivotButton="0" quotePrefix="0" xfId="0">
      <alignment horizontal="center"/>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6" customWidth="1" min="3" max="3"/>
    <col width="14" customWidth="1" min="4" max="4"/>
    <col width="14" customWidth="1" min="5" max="5"/>
    <col width="40" customWidth="1" min="6" max="6"/>
  </cols>
  <sheetData>
    <row r="1" ht="30" customHeight="1">
      <c r="A1" s="1" t="inlineStr">
        <is>
          <t>Meridian Pay  -  FIPS 199 Categorisation: Customer Web Portal (S2)</t>
        </is>
      </c>
    </row>
    <row r="2">
      <c r="A2" s="2" t="inlineStr">
        <is>
          <t>Rate each information type for Confidentiality, Integrity, Availability. The system takes the highest of each (the high-water mark).</t>
        </is>
      </c>
    </row>
    <row r="4" ht="30" customHeight="1">
      <c r="A4" s="3" t="inlineStr">
        <is>
          <t>Information type</t>
        </is>
      </c>
      <c r="B4" s="3" t="inlineStr">
        <is>
          <t>What it is</t>
        </is>
      </c>
      <c r="C4" s="3" t="inlineStr">
        <is>
          <t>Confidentiality</t>
        </is>
      </c>
      <c r="D4" s="3" t="inlineStr">
        <is>
          <t>Integrity</t>
        </is>
      </c>
      <c r="E4" s="3" t="inlineStr">
        <is>
          <t>Availability</t>
        </is>
      </c>
      <c r="F4" s="3" t="inlineStr">
        <is>
          <t>Rationale</t>
        </is>
      </c>
    </row>
    <row r="5">
      <c r="A5" s="4" t="inlineStr">
        <is>
          <t>Customer profile data shown in portal</t>
        </is>
      </c>
      <c r="B5" s="4" t="inlineStr">
        <is>
          <t>name, contact, masked account details</t>
        </is>
      </c>
      <c r="C5" s="5" t="inlineStr">
        <is>
          <t>Moderate</t>
        </is>
      </c>
      <c r="D5" s="5" t="inlineStr">
        <is>
          <t>Moderate</t>
        </is>
      </c>
      <c r="E5" s="5" t="inlineStr">
        <is>
          <t>Moderate</t>
        </is>
      </c>
      <c r="F5" s="4" t="inlineStr">
        <is>
          <t>Masked and limited in the portal; the full record lives in Core Banking (S3).</t>
        </is>
      </c>
    </row>
    <row r="6">
      <c r="A6" s="6" t="inlineStr">
        <is>
          <t>Account balances and history (displayed)</t>
        </is>
      </c>
      <c r="B6" s="6" t="inlineStr">
        <is>
          <t>read from Core Banking, shown to the customer</t>
        </is>
      </c>
      <c r="C6" s="7" t="inlineStr">
        <is>
          <t>Moderate</t>
        </is>
      </c>
      <c r="D6" s="7" t="inlineStr">
        <is>
          <t>Moderate</t>
        </is>
      </c>
      <c r="E6" s="7" t="inlineStr">
        <is>
          <t>Moderate</t>
        </is>
      </c>
      <c r="F6" s="6" t="inlineStr">
        <is>
          <t>Displayed only; the authoritative High copy sits in Core Banking (S3).</t>
        </is>
      </c>
    </row>
    <row r="7">
      <c r="A7" s="4" t="inlineStr">
        <is>
          <t>Session and login tokens</t>
        </is>
      </c>
      <c r="B7" s="4" t="inlineStr">
        <is>
          <t>who is logged in right now</t>
        </is>
      </c>
      <c r="C7" s="5" t="inlineStr">
        <is>
          <t>Moderate</t>
        </is>
      </c>
      <c r="D7" s="5" t="inlineStr">
        <is>
          <t>Moderate</t>
        </is>
      </c>
      <c r="E7" s="5" t="inlineStr">
        <is>
          <t>Moderate</t>
        </is>
      </c>
      <c r="F7" s="4" t="inlineStr">
        <is>
          <t>A stolen session affects one account briefly; the heavier auth risk sits with the identity service (S5).</t>
        </is>
      </c>
    </row>
    <row r="8">
      <c r="A8" s="6" t="inlineStr">
        <is>
          <t>Portal content and configuration</t>
        </is>
      </c>
      <c r="B8" s="6" t="inlineStr">
        <is>
          <t>the pages and settings themselves</t>
        </is>
      </c>
      <c r="C8" s="7" t="inlineStr">
        <is>
          <t>Low</t>
        </is>
      </c>
      <c r="D8" s="7" t="inlineStr">
        <is>
          <t>Moderate</t>
        </is>
      </c>
      <c r="E8" s="7" t="inlineStr">
        <is>
          <t>Moderate</t>
        </is>
      </c>
      <c r="F8" s="6" t="inlineStr">
        <is>
          <t>The pages are not secret (Low C), but altering or downing them (I, A) matters more.</t>
        </is>
      </c>
    </row>
    <row r="10">
      <c r="A10" s="8" t="inlineStr">
        <is>
          <t>System categorisation (high-water mark)</t>
        </is>
      </c>
    </row>
    <row r="11">
      <c r="A11" s="9" t="inlineStr">
        <is>
          <t>Confidentiality</t>
        </is>
      </c>
      <c r="B11" s="10">
        <f>IF(COUNTIF(C5:C8,"High"),"High",IF(COUNTIF(C5:C8,"Moderate"),"Moderate",IF(COUNTIF(C5:C8,"Low"),"Low","")))</f>
        <v/>
      </c>
    </row>
    <row r="12">
      <c r="A12" s="9" t="inlineStr">
        <is>
          <t>Integrity</t>
        </is>
      </c>
      <c r="B12" s="10">
        <f>IF(COUNTIF(D5:D8,"High"),"High",IF(COUNTIF(D5:D8,"Moderate"),"Moderate",IF(COUNTIF(D5:D8,"Low"),"Low","")))</f>
        <v/>
      </c>
    </row>
    <row r="13">
      <c r="A13" s="9" t="inlineStr">
        <is>
          <t>Availability</t>
        </is>
      </c>
      <c r="B13" s="10">
        <f>IF(COUNTIF(E5:E8,"High"),"High",IF(COUNTIF(E5:E8,"Moderate"),"Moderate",IF(COUNTIF(E5:E8,"Low"),"Low","")))</f>
        <v/>
      </c>
    </row>
    <row r="15">
      <c r="A15" s="11" t="inlineStr">
        <is>
          <t>OVERALL SYSTEM IMPACT</t>
        </is>
      </c>
      <c r="B15" s="12">
        <f>IF(OR(B11="High",B12="High",B13="High"),"HIGH",IF(OR(B11="Moderate",B12="Moderate",B13="Moderate"),"MODERATE",IF(OR(B11="Low",B12="Low",B13="Low"),"LOW","")))</f>
        <v/>
      </c>
    </row>
    <row r="17" ht="60" customHeight="1">
      <c r="A17" s="13" t="inlineStr">
        <is>
          <t>Why Moderate and not High: the portal shows masked and limited data and hands sensitive operations to the Core Banking system. Its own boundary is Moderate. The authoritative account data (High) is categorised separately with Core Banking (S3). This scoping choice is the whole reason a categorisation is written down: so the sign-off is about a defined boundary, not a vague feeling. The Moderate result drives the SP 800-53B Moderate baseline you tailor in the control-selection workbook.</t>
        </is>
      </c>
    </row>
    <row r="18"/>
    <row r="19"/>
  </sheetData>
  <mergeCells count="3">
    <mergeCell ref="A2:F2"/>
    <mergeCell ref="A17:F19"/>
    <mergeCell ref="A1:F1"/>
  </mergeCells>
  <dataValidations count="1">
    <dataValidation sqref="C5:E8" showDropDown="0" showInputMessage="0" showErrorMessage="0" allowBlank="1" type="list">
      <formula1>"Low,Moderate,High"</formula1>
    </dataValidation>
  </dataValidations>
  <pageMargins left="0.75" right="0.75" top="1" bottom="1" header="0.5" footer="0.5"/>
  <headerFooter>
    <oddHeader/>
    <oddFooter>&amp;LField Notes Lab  -  fictional, for teaching&amp;COmar Mahdy&amp;R&amp;P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Omar Mahdy</dc:creator>
  <dc:title xmlns:dc="http://purl.org/dc/elements/1.1/">Field Notes Lab</dc:title>
  <dc:description xmlns:dc="http://purl.org/dc/elements/1.1/">Fictional teaching artifact by Omar Mahdy, Field Notes. Meridian Pay is invented; the NIST structure is real. Not real security advice.</dc:description>
  <dc:subject xmlns:dc="http://purl.org/dc/elements/1.1/">Field Notes Lab (fictional Meridian Pay) - NIST practice artifact</dc:subject>
  <dcterms:created xmlns:dcterms="http://purl.org/dc/terms/" xmlns:xsi="http://www.w3.org/2001/XMLSchema-instance" xsi:type="dcterms:W3CDTF">2026-07-03T13:03:50Z</dcterms:created>
  <dcterms:modified xmlns:dcterms="http://purl.org/dc/terms/" xmlns:xsi="http://www.w3.org/2001/XMLSchema-instance" xsi:type="dcterms:W3CDTF">2026-07-03T13:03:50Z</dcterms:modified>
  <cp:lastModifiedBy>Omar Mahdy</cp:lastModifiedBy>
  <cp:category>Field Notes Lab</cp:category>
  <cp:keywords>NIST, CSF, RMF, FIPS 199, SP 800-53, Field Notes, Omar Mahdy</cp:keywords>
</cp:coreProperties>
</file>