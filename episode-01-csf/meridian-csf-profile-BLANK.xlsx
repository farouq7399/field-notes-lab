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F Profil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73029"/>
      <sz val="12"/>
    </font>
    <font>
      <name val="Calibri"/>
      <b val="1"/>
      <color rgb="00000000"/>
      <sz val="10"/>
    </font>
    <font>
      <name val="Calibri"/>
      <b val="1"/>
      <color rgb="00173029"/>
      <sz val="13"/>
    </font>
    <font>
      <name val="Calibri"/>
      <color rgb="00000000"/>
      <sz val="11"/>
    </font>
    <font>
      <name val="Calibri"/>
      <b val="1"/>
      <color rgb="00173029"/>
      <sz val="11"/>
    </font>
  </fonts>
  <fills count="9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  <fill>
      <patternFill patternType="solid">
        <fgColor rgb="003A6B57"/>
      </patternFill>
    </fill>
    <fill>
      <patternFill patternType="solid">
        <fgColor rgb="004A6B5A"/>
      </patternFill>
    </fill>
    <fill>
      <patternFill patternType="solid">
        <fgColor rgb="008C4A34"/>
      </patternFill>
    </fill>
    <fill>
      <patternFill patternType="solid">
        <fgColor rgb="00A9772E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3D6CE"/>
        </patternFill>
      </fill>
    </dxf>
    <dxf>
      <fill>
        <patternFill patternType="solid">
          <fgColor rgb="00F6E6C8"/>
        </patternFill>
      </fill>
    </dxf>
    <dxf>
      <fill>
        <patternFill patternType="solid">
          <fgColor rgb="00D8E6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46" customWidth="1" min="4" max="4"/>
    <col width="11" customWidth="1" min="5" max="5"/>
    <col width="11" customWidth="1" min="6" max="6"/>
    <col width="7" customWidth="1" min="7" max="7"/>
    <col width="10" customWidth="1" min="8" max="8"/>
    <col width="30" customWidth="1" min="9" max="9"/>
  </cols>
  <sheetData>
    <row r="1" ht="30" customHeight="1">
      <c r="A1" s="1" t="inlineStr">
        <is>
          <t>Meridian Pay  -  Cybersecurity Framework 2.0 Profile</t>
        </is>
      </c>
    </row>
    <row r="2">
      <c r="A2" s="2" t="inlineStr">
        <is>
          <t>Rate each category now (Current) and where you want to be (Target). Gap and the summary update themselves. Scale 1-4.</t>
        </is>
      </c>
    </row>
    <row r="4" ht="30" customHeight="1">
      <c r="A4" s="3" t="inlineStr">
        <is>
          <t>Function</t>
        </is>
      </c>
      <c r="B4" s="3" t="inlineStr">
        <is>
          <t>ID</t>
        </is>
      </c>
      <c r="C4" s="3" t="inlineStr">
        <is>
          <t>Category</t>
        </is>
      </c>
      <c r="D4" s="3" t="inlineStr">
        <is>
          <t>Outcome (plain language)</t>
        </is>
      </c>
      <c r="E4" s="3" t="inlineStr">
        <is>
          <t>Current (1-4)</t>
        </is>
      </c>
      <c r="F4" s="3" t="inlineStr">
        <is>
          <t>Target (1-4)</t>
        </is>
      </c>
      <c r="G4" s="3" t="inlineStr">
        <is>
          <t>Gap</t>
        </is>
      </c>
      <c r="H4" s="3" t="inlineStr">
        <is>
          <t>Priority</t>
        </is>
      </c>
      <c r="I4" s="3" t="inlineStr">
        <is>
          <t>Notes</t>
        </is>
      </c>
    </row>
    <row r="5">
      <c r="A5" s="4" t="inlineStr">
        <is>
          <t>GOVERN</t>
        </is>
      </c>
      <c r="B5" s="5" t="inlineStr">
        <is>
          <t>GV.OC</t>
        </is>
      </c>
      <c r="C5" s="6" t="inlineStr">
        <is>
          <t>Organizational Context</t>
        </is>
      </c>
      <c r="D5" s="6" t="inlineStr">
        <is>
          <t>We understand our mission, legal duties, and what we must protect.</t>
        </is>
      </c>
      <c r="E5" s="5" t="inlineStr"/>
      <c r="F5" s="5" t="inlineStr"/>
      <c r="G5" s="5">
        <f>IF(AND(ISNUMBER(E5),ISNUMBER(F5)),F5-E5,"")</f>
        <v/>
      </c>
      <c r="H5" s="5" t="inlineStr"/>
      <c r="I5" s="6" t="inlineStr"/>
    </row>
    <row r="6">
      <c r="A6" s="4" t="inlineStr">
        <is>
          <t>GOVERN</t>
        </is>
      </c>
      <c r="B6" s="7" t="inlineStr">
        <is>
          <t>GV.RM</t>
        </is>
      </c>
      <c r="C6" s="8" t="inlineStr">
        <is>
          <t>Risk Management Strategy</t>
        </is>
      </c>
      <c r="D6" s="8" t="inlineStr">
        <is>
          <t>We have decided how much risk we accept and how we manage it.</t>
        </is>
      </c>
      <c r="E6" s="7" t="inlineStr"/>
      <c r="F6" s="7" t="inlineStr"/>
      <c r="G6" s="7">
        <f>IF(AND(ISNUMBER(E6),ISNUMBER(F6)),F6-E6,"")</f>
        <v/>
      </c>
      <c r="H6" s="7" t="inlineStr"/>
      <c r="I6" s="8" t="inlineStr"/>
    </row>
    <row r="7">
      <c r="A7" s="4" t="inlineStr">
        <is>
          <t>GOVERN</t>
        </is>
      </c>
      <c r="B7" s="5" t="inlineStr">
        <is>
          <t>GV.RR</t>
        </is>
      </c>
      <c r="C7" s="6" t="inlineStr">
        <is>
          <t>Roles, Responsibilities, Authorities</t>
        </is>
      </c>
      <c r="D7" s="6" t="inlineStr">
        <is>
          <t>Everyone knows who owns what in security.</t>
        </is>
      </c>
      <c r="E7" s="5" t="inlineStr"/>
      <c r="F7" s="5" t="inlineStr"/>
      <c r="G7" s="5">
        <f>IF(AND(ISNUMBER(E7),ISNUMBER(F7)),F7-E7,"")</f>
        <v/>
      </c>
      <c r="H7" s="5" t="inlineStr"/>
      <c r="I7" s="6" t="inlineStr"/>
    </row>
    <row r="8">
      <c r="A8" s="4" t="inlineStr">
        <is>
          <t>GOVERN</t>
        </is>
      </c>
      <c r="B8" s="7" t="inlineStr">
        <is>
          <t>GV.PO</t>
        </is>
      </c>
      <c r="C8" s="8" t="inlineStr">
        <is>
          <t>Policy</t>
        </is>
      </c>
      <c r="D8" s="8" t="inlineStr">
        <is>
          <t>Security policies exist, are approved, and are kept current.</t>
        </is>
      </c>
      <c r="E8" s="7" t="inlineStr"/>
      <c r="F8" s="7" t="inlineStr"/>
      <c r="G8" s="7">
        <f>IF(AND(ISNUMBER(E8),ISNUMBER(F8)),F8-E8,"")</f>
        <v/>
      </c>
      <c r="H8" s="7" t="inlineStr"/>
      <c r="I8" s="8" t="inlineStr"/>
    </row>
    <row r="9">
      <c r="A9" s="4" t="inlineStr">
        <is>
          <t>GOVERN</t>
        </is>
      </c>
      <c r="B9" s="5" t="inlineStr">
        <is>
          <t>GV.OV</t>
        </is>
      </c>
      <c r="C9" s="6" t="inlineStr">
        <is>
          <t>Oversight</t>
        </is>
      </c>
      <c r="D9" s="6" t="inlineStr">
        <is>
          <t>Leadership reviews the programme and adjusts it.</t>
        </is>
      </c>
      <c r="E9" s="5" t="inlineStr"/>
      <c r="F9" s="5" t="inlineStr"/>
      <c r="G9" s="5">
        <f>IF(AND(ISNUMBER(E9),ISNUMBER(F9)),F9-E9,"")</f>
        <v/>
      </c>
      <c r="H9" s="5" t="inlineStr"/>
      <c r="I9" s="6" t="inlineStr"/>
    </row>
    <row r="10">
      <c r="A10" s="4" t="inlineStr">
        <is>
          <t>GOVERN</t>
        </is>
      </c>
      <c r="B10" s="7" t="inlineStr">
        <is>
          <t>GV.SC</t>
        </is>
      </c>
      <c r="C10" s="8" t="inlineStr">
        <is>
          <t>Cybersecurity Supply Chain Risk Mgmt</t>
        </is>
      </c>
      <c r="D10" s="8" t="inlineStr">
        <is>
          <t>We manage risk from providers (AWS, CardaX, VerifyNow).</t>
        </is>
      </c>
      <c r="E10" s="7" t="inlineStr"/>
      <c r="F10" s="7" t="inlineStr"/>
      <c r="G10" s="7">
        <f>IF(AND(ISNUMBER(E10),ISNUMBER(F10)),F10-E10,"")</f>
        <v/>
      </c>
      <c r="H10" s="7" t="inlineStr"/>
      <c r="I10" s="8" t="inlineStr"/>
    </row>
    <row r="11">
      <c r="A11" s="9" t="inlineStr">
        <is>
          <t>IDENTIFY</t>
        </is>
      </c>
      <c r="B11" s="5" t="inlineStr">
        <is>
          <t>ID.AM</t>
        </is>
      </c>
      <c r="C11" s="6" t="inlineStr">
        <is>
          <t>Asset Management</t>
        </is>
      </c>
      <c r="D11" s="6" t="inlineStr">
        <is>
          <t>We know our systems, data, and who owns them.</t>
        </is>
      </c>
      <c r="E11" s="5" t="inlineStr"/>
      <c r="F11" s="5" t="inlineStr"/>
      <c r="G11" s="5">
        <f>IF(AND(ISNUMBER(E11),ISNUMBER(F11)),F11-E11,"")</f>
        <v/>
      </c>
      <c r="H11" s="5" t="inlineStr"/>
      <c r="I11" s="6" t="inlineStr"/>
    </row>
    <row r="12">
      <c r="A12" s="9" t="inlineStr">
        <is>
          <t>IDENTIFY</t>
        </is>
      </c>
      <c r="B12" s="7" t="inlineStr">
        <is>
          <t>ID.RA</t>
        </is>
      </c>
      <c r="C12" s="8" t="inlineStr">
        <is>
          <t>Risk Assessment</t>
        </is>
      </c>
      <c r="D12" s="8" t="inlineStr">
        <is>
          <t>We find and rate our vulnerabilities and threats.</t>
        </is>
      </c>
      <c r="E12" s="7" t="inlineStr"/>
      <c r="F12" s="7" t="inlineStr"/>
      <c r="G12" s="7">
        <f>IF(AND(ISNUMBER(E12),ISNUMBER(F12)),F12-E12,"")</f>
        <v/>
      </c>
      <c r="H12" s="7" t="inlineStr"/>
      <c r="I12" s="8" t="inlineStr"/>
    </row>
    <row r="13">
      <c r="A13" s="9" t="inlineStr">
        <is>
          <t>IDENTIFY</t>
        </is>
      </c>
      <c r="B13" s="5" t="inlineStr">
        <is>
          <t>ID.IM</t>
        </is>
      </c>
      <c r="C13" s="6" t="inlineStr">
        <is>
          <t>Improvement</t>
        </is>
      </c>
      <c r="D13" s="6" t="inlineStr">
        <is>
          <t>We learn from tests, incidents, and reviews and improve.</t>
        </is>
      </c>
      <c r="E13" s="5" t="inlineStr"/>
      <c r="F13" s="5" t="inlineStr"/>
      <c r="G13" s="5">
        <f>IF(AND(ISNUMBER(E13),ISNUMBER(F13)),F13-E13,"")</f>
        <v/>
      </c>
      <c r="H13" s="5" t="inlineStr"/>
      <c r="I13" s="6" t="inlineStr"/>
    </row>
    <row r="14">
      <c r="A14" s="10" t="inlineStr">
        <is>
          <t>PROTECT</t>
        </is>
      </c>
      <c r="B14" s="7" t="inlineStr">
        <is>
          <t>PR.AA</t>
        </is>
      </c>
      <c r="C14" s="8" t="inlineStr">
        <is>
          <t>Identity, Authentication, Access Control</t>
        </is>
      </c>
      <c r="D14" s="8" t="inlineStr">
        <is>
          <t>Only the right people and systems get access, with MFA.</t>
        </is>
      </c>
      <c r="E14" s="7" t="inlineStr"/>
      <c r="F14" s="7" t="inlineStr"/>
      <c r="G14" s="7">
        <f>IF(AND(ISNUMBER(E14),ISNUMBER(F14)),F14-E14,"")</f>
        <v/>
      </c>
      <c r="H14" s="7" t="inlineStr"/>
      <c r="I14" s="8" t="inlineStr"/>
    </row>
    <row r="15">
      <c r="A15" s="10" t="inlineStr">
        <is>
          <t>PROTECT</t>
        </is>
      </c>
      <c r="B15" s="5" t="inlineStr">
        <is>
          <t>PR.AT</t>
        </is>
      </c>
      <c r="C15" s="6" t="inlineStr">
        <is>
          <t>Awareness and Training</t>
        </is>
      </c>
      <c r="D15" s="6" t="inlineStr">
        <is>
          <t>Staff know how to work safely and spot problems.</t>
        </is>
      </c>
      <c r="E15" s="5" t="inlineStr"/>
      <c r="F15" s="5" t="inlineStr"/>
      <c r="G15" s="5">
        <f>IF(AND(ISNUMBER(E15),ISNUMBER(F15)),F15-E15,"")</f>
        <v/>
      </c>
      <c r="H15" s="5" t="inlineStr"/>
      <c r="I15" s="6" t="inlineStr"/>
    </row>
    <row r="16">
      <c r="A16" s="10" t="inlineStr">
        <is>
          <t>PROTECT</t>
        </is>
      </c>
      <c r="B16" s="7" t="inlineStr">
        <is>
          <t>PR.DS</t>
        </is>
      </c>
      <c r="C16" s="8" t="inlineStr">
        <is>
          <t>Data Security</t>
        </is>
      </c>
      <c r="D16" s="8" t="inlineStr">
        <is>
          <t>Data is protected at rest and in transit.</t>
        </is>
      </c>
      <c r="E16" s="7" t="inlineStr"/>
      <c r="F16" s="7" t="inlineStr"/>
      <c r="G16" s="7">
        <f>IF(AND(ISNUMBER(E16),ISNUMBER(F16)),F16-E16,"")</f>
        <v/>
      </c>
      <c r="H16" s="7" t="inlineStr"/>
      <c r="I16" s="8" t="inlineStr"/>
    </row>
    <row r="17">
      <c r="A17" s="10" t="inlineStr">
        <is>
          <t>PROTECT</t>
        </is>
      </c>
      <c r="B17" s="5" t="inlineStr">
        <is>
          <t>PR.PS</t>
        </is>
      </c>
      <c r="C17" s="6" t="inlineStr">
        <is>
          <t>Platform Security</t>
        </is>
      </c>
      <c r="D17" s="6" t="inlineStr">
        <is>
          <t>Systems are configured securely and patched.</t>
        </is>
      </c>
      <c r="E17" s="5" t="inlineStr"/>
      <c r="F17" s="5" t="inlineStr"/>
      <c r="G17" s="5">
        <f>IF(AND(ISNUMBER(E17),ISNUMBER(F17)),F17-E17,"")</f>
        <v/>
      </c>
      <c r="H17" s="5" t="inlineStr"/>
      <c r="I17" s="6" t="inlineStr"/>
    </row>
    <row r="18">
      <c r="A18" s="10" t="inlineStr">
        <is>
          <t>PROTECT</t>
        </is>
      </c>
      <c r="B18" s="7" t="inlineStr">
        <is>
          <t>PR.IR</t>
        </is>
      </c>
      <c r="C18" s="8" t="inlineStr">
        <is>
          <t>Technology Infrastructure Resilience</t>
        </is>
      </c>
      <c r="D18" s="8" t="inlineStr">
        <is>
          <t>Systems are built to keep running and resist attack.</t>
        </is>
      </c>
      <c r="E18" s="7" t="inlineStr"/>
      <c r="F18" s="7" t="inlineStr"/>
      <c r="G18" s="7">
        <f>IF(AND(ISNUMBER(E18),ISNUMBER(F18)),F18-E18,"")</f>
        <v/>
      </c>
      <c r="H18" s="7" t="inlineStr"/>
      <c r="I18" s="8" t="inlineStr"/>
    </row>
    <row r="19">
      <c r="A19" s="11" t="inlineStr">
        <is>
          <t>DETECT</t>
        </is>
      </c>
      <c r="B19" s="5" t="inlineStr">
        <is>
          <t>DE.CM</t>
        </is>
      </c>
      <c r="C19" s="6" t="inlineStr">
        <is>
          <t>Continuous Monitoring</t>
        </is>
      </c>
      <c r="D19" s="6" t="inlineStr">
        <is>
          <t>We watch systems and networks for problems.</t>
        </is>
      </c>
      <c r="E19" s="5" t="inlineStr"/>
      <c r="F19" s="5" t="inlineStr"/>
      <c r="G19" s="5">
        <f>IF(AND(ISNUMBER(E19),ISNUMBER(F19)),F19-E19,"")</f>
        <v/>
      </c>
      <c r="H19" s="5" t="inlineStr"/>
      <c r="I19" s="6" t="inlineStr"/>
    </row>
    <row r="20">
      <c r="A20" s="11" t="inlineStr">
        <is>
          <t>DETECT</t>
        </is>
      </c>
      <c r="B20" s="7" t="inlineStr">
        <is>
          <t>DE.AE</t>
        </is>
      </c>
      <c r="C20" s="8" t="inlineStr">
        <is>
          <t>Adverse Event Analysis</t>
        </is>
      </c>
      <c r="D20" s="8" t="inlineStr">
        <is>
          <t>We analyse alerts to understand what is happening.</t>
        </is>
      </c>
      <c r="E20" s="7" t="inlineStr"/>
      <c r="F20" s="7" t="inlineStr"/>
      <c r="G20" s="7">
        <f>IF(AND(ISNUMBER(E20),ISNUMBER(F20)),F20-E20,"")</f>
        <v/>
      </c>
      <c r="H20" s="7" t="inlineStr"/>
      <c r="I20" s="8" t="inlineStr"/>
    </row>
    <row r="21">
      <c r="A21" s="12" t="inlineStr">
        <is>
          <t>RESPOND</t>
        </is>
      </c>
      <c r="B21" s="5" t="inlineStr">
        <is>
          <t>RS.MA</t>
        </is>
      </c>
      <c r="C21" s="6" t="inlineStr">
        <is>
          <t>Incident Management</t>
        </is>
      </c>
      <c r="D21" s="6" t="inlineStr">
        <is>
          <t>We have a plan and run it when incidents happen.</t>
        </is>
      </c>
      <c r="E21" s="5" t="inlineStr"/>
      <c r="F21" s="5" t="inlineStr"/>
      <c r="G21" s="5">
        <f>IF(AND(ISNUMBER(E21),ISNUMBER(F21)),F21-E21,"")</f>
        <v/>
      </c>
      <c r="H21" s="5" t="inlineStr"/>
      <c r="I21" s="6" t="inlineStr"/>
    </row>
    <row r="22">
      <c r="A22" s="12" t="inlineStr">
        <is>
          <t>RESPOND</t>
        </is>
      </c>
      <c r="B22" s="7" t="inlineStr">
        <is>
          <t>RS.AN</t>
        </is>
      </c>
      <c r="C22" s="8" t="inlineStr">
        <is>
          <t>Incident Analysis</t>
        </is>
      </c>
      <c r="D22" s="8" t="inlineStr">
        <is>
          <t>We investigate incidents to find scope and cause.</t>
        </is>
      </c>
      <c r="E22" s="7" t="inlineStr"/>
      <c r="F22" s="7" t="inlineStr"/>
      <c r="G22" s="7">
        <f>IF(AND(ISNUMBER(E22),ISNUMBER(F22)),F22-E22,"")</f>
        <v/>
      </c>
      <c r="H22" s="7" t="inlineStr"/>
      <c r="I22" s="8" t="inlineStr"/>
    </row>
    <row r="23">
      <c r="A23" s="12" t="inlineStr">
        <is>
          <t>RESPOND</t>
        </is>
      </c>
      <c r="B23" s="5" t="inlineStr">
        <is>
          <t>RS.CO</t>
        </is>
      </c>
      <c r="C23" s="6" t="inlineStr">
        <is>
          <t>Incident Reporting and Communication</t>
        </is>
      </c>
      <c r="D23" s="6" t="inlineStr">
        <is>
          <t>We tell the right people, inside and out.</t>
        </is>
      </c>
      <c r="E23" s="5" t="inlineStr"/>
      <c r="F23" s="5" t="inlineStr"/>
      <c r="G23" s="5">
        <f>IF(AND(ISNUMBER(E23),ISNUMBER(F23)),F23-E23,"")</f>
        <v/>
      </c>
      <c r="H23" s="5" t="inlineStr"/>
      <c r="I23" s="6" t="inlineStr"/>
    </row>
    <row r="24">
      <c r="A24" s="12" t="inlineStr">
        <is>
          <t>RESPOND</t>
        </is>
      </c>
      <c r="B24" s="7" t="inlineStr">
        <is>
          <t>RS.MI</t>
        </is>
      </c>
      <c r="C24" s="8" t="inlineStr">
        <is>
          <t>Incident Mitigation</t>
        </is>
      </c>
      <c r="D24" s="8" t="inlineStr">
        <is>
          <t>We contain and reduce the impact of incidents.</t>
        </is>
      </c>
      <c r="E24" s="7" t="inlineStr"/>
      <c r="F24" s="7" t="inlineStr"/>
      <c r="G24" s="7">
        <f>IF(AND(ISNUMBER(E24),ISNUMBER(F24)),F24-E24,"")</f>
        <v/>
      </c>
      <c r="H24" s="7" t="inlineStr"/>
      <c r="I24" s="8" t="inlineStr"/>
    </row>
    <row r="25">
      <c r="A25" s="13" t="inlineStr">
        <is>
          <t>RECOVER</t>
        </is>
      </c>
      <c r="B25" s="5" t="inlineStr">
        <is>
          <t>RC.RP</t>
        </is>
      </c>
      <c r="C25" s="6" t="inlineStr">
        <is>
          <t>Incident Recovery Plan Execution</t>
        </is>
      </c>
      <c r="D25" s="6" t="inlineStr">
        <is>
          <t>We restore systems and data after an incident.</t>
        </is>
      </c>
      <c r="E25" s="5" t="inlineStr"/>
      <c r="F25" s="5" t="inlineStr"/>
      <c r="G25" s="5">
        <f>IF(AND(ISNUMBER(E25),ISNUMBER(F25)),F25-E25,"")</f>
        <v/>
      </c>
      <c r="H25" s="5" t="inlineStr"/>
      <c r="I25" s="6" t="inlineStr"/>
    </row>
    <row r="26">
      <c r="A26" s="13" t="inlineStr">
        <is>
          <t>RECOVER</t>
        </is>
      </c>
      <c r="B26" s="7" t="inlineStr">
        <is>
          <t>RC.CO</t>
        </is>
      </c>
      <c r="C26" s="8" t="inlineStr">
        <is>
          <t>Incident Recovery Communication</t>
        </is>
      </c>
      <c r="D26" s="8" t="inlineStr">
        <is>
          <t>We keep people informed during recovery.</t>
        </is>
      </c>
      <c r="E26" s="7" t="inlineStr"/>
      <c r="F26" s="7" t="inlineStr"/>
      <c r="G26" s="7">
        <f>IF(AND(ISNUMBER(E26),ISNUMBER(F26)),F26-E26,"")</f>
        <v/>
      </c>
      <c r="H26" s="7" t="inlineStr"/>
      <c r="I26" s="8" t="inlineStr"/>
    </row>
    <row r="29">
      <c r="A29" s="14" t="inlineStr">
        <is>
          <t>Summary by Function</t>
        </is>
      </c>
    </row>
    <row r="30" ht="30" customHeight="1">
      <c r="A30" s="3" t="inlineStr">
        <is>
          <t>Function</t>
        </is>
      </c>
      <c r="B30" s="3" t="inlineStr">
        <is>
          <t>Avg Current</t>
        </is>
      </c>
      <c r="C30" s="3" t="inlineStr">
        <is>
          <t>Avg Target</t>
        </is>
      </c>
      <c r="D30" s="3" t="inlineStr">
        <is>
          <t>Avg Gap</t>
        </is>
      </c>
    </row>
    <row r="31">
      <c r="A31" s="15" t="inlineStr">
        <is>
          <t>GOVERN</t>
        </is>
      </c>
      <c r="B31" s="16">
        <f>IFERROR(ROUND(AVERAGE(E5:E10),1),"")</f>
        <v/>
      </c>
      <c r="C31" s="16">
        <f>IFERROR(ROUND(AVERAGE(F5:F10),1),"")</f>
        <v/>
      </c>
      <c r="D31" s="16">
        <f>IFERROR(ROUND(AVERAGE(G5:G10),1),"")</f>
        <v/>
      </c>
    </row>
    <row r="32">
      <c r="A32" s="15" t="inlineStr">
        <is>
          <t>IDENTIFY</t>
        </is>
      </c>
      <c r="B32" s="16">
        <f>IFERROR(ROUND(AVERAGE(E11:E13),1),"")</f>
        <v/>
      </c>
      <c r="C32" s="16">
        <f>IFERROR(ROUND(AVERAGE(F11:F13),1),"")</f>
        <v/>
      </c>
      <c r="D32" s="16">
        <f>IFERROR(ROUND(AVERAGE(G11:G13),1),"")</f>
        <v/>
      </c>
    </row>
    <row r="33">
      <c r="A33" s="15" t="inlineStr">
        <is>
          <t>PROTECT</t>
        </is>
      </c>
      <c r="B33" s="16">
        <f>IFERROR(ROUND(AVERAGE(E14:E18),1),"")</f>
        <v/>
      </c>
      <c r="C33" s="16">
        <f>IFERROR(ROUND(AVERAGE(F14:F18),1),"")</f>
        <v/>
      </c>
      <c r="D33" s="16">
        <f>IFERROR(ROUND(AVERAGE(G14:G18),1),"")</f>
        <v/>
      </c>
    </row>
    <row r="34">
      <c r="A34" s="15" t="inlineStr">
        <is>
          <t>DETECT</t>
        </is>
      </c>
      <c r="B34" s="16">
        <f>IFERROR(ROUND(AVERAGE(E19:E20),1),"")</f>
        <v/>
      </c>
      <c r="C34" s="16">
        <f>IFERROR(ROUND(AVERAGE(F19:F20),1),"")</f>
        <v/>
      </c>
      <c r="D34" s="16">
        <f>IFERROR(ROUND(AVERAGE(G19:G20),1),"")</f>
        <v/>
      </c>
    </row>
    <row r="35">
      <c r="A35" s="15" t="inlineStr">
        <is>
          <t>RESPOND</t>
        </is>
      </c>
      <c r="B35" s="16">
        <f>IFERROR(ROUND(AVERAGE(E21:E24),1),"")</f>
        <v/>
      </c>
      <c r="C35" s="16">
        <f>IFERROR(ROUND(AVERAGE(F21:F24),1),"")</f>
        <v/>
      </c>
      <c r="D35" s="16">
        <f>IFERROR(ROUND(AVERAGE(G21:G24),1),"")</f>
        <v/>
      </c>
    </row>
    <row r="36">
      <c r="A36" s="15" t="inlineStr">
        <is>
          <t>RECOVER</t>
        </is>
      </c>
      <c r="B36" s="16">
        <f>IFERROR(ROUND(AVERAGE(E25:E26),1),"")</f>
        <v/>
      </c>
      <c r="C36" s="16">
        <f>IFERROR(ROUND(AVERAGE(F25:F26),1),"")</f>
        <v/>
      </c>
      <c r="D36" s="16">
        <f>IFERROR(ROUND(AVERAGE(G25:G26),1),"")</f>
        <v/>
      </c>
    </row>
  </sheetData>
  <mergeCells count="2">
    <mergeCell ref="A1:I1"/>
    <mergeCell ref="A2:I2"/>
  </mergeCells>
  <conditionalFormatting sqref="G5:G26">
    <cfRule type="cellIs" priority="1" operator="greaterThanOrEqual" dxfId="0">
      <formula>2</formula>
    </cfRule>
    <cfRule type="cellIs" priority="2" operator="equal" dxfId="1">
      <formula>1</formula>
    </cfRule>
    <cfRule type="cellIs" priority="3" operator="lessThanOrEqual" dxfId="2">
      <formula>0</formula>
    </cfRule>
  </conditionalFormatting>
  <dataValidations count="2">
    <dataValidation sqref="E5:F26" showDropDown="0" showInputMessage="0" showErrorMessage="0" allowBlank="1" error="Enter a whole number 1 to 4." prompt="1 Initial, 2 Developing, 3 Defined, 4 Managed" type="whole" operator="between">
      <formula1>1</formula1>
      <formula2>4</formula2>
    </dataValidation>
    <dataValidation sqref="H5:H2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7" t="inlineStr">
        <is>
          <t>How to use this profile</t>
        </is>
      </c>
    </row>
    <row r="2">
      <c r="A2" s="18" t="inlineStr"/>
    </row>
    <row r="3">
      <c r="A3" s="18" t="inlineStr">
        <is>
          <t>1. For each row, set Current: how well Meridian does this today, 1 to 4.</t>
        </is>
      </c>
    </row>
    <row r="4">
      <c r="A4" s="18" t="inlineStr">
        <is>
          <t>2. Set Target: where you want to be. Be honest, not aspirational everywhere.</t>
        </is>
      </c>
    </row>
    <row r="5">
      <c r="A5" s="18" t="inlineStr">
        <is>
          <t>3. Gap fills itself. A gap of 2 or more (shaded red) is where to focus first.</t>
        </is>
      </c>
    </row>
    <row r="6">
      <c r="A6" s="18" t="inlineStr">
        <is>
          <t>4. Use Priority and Notes to plan the work.</t>
        </is>
      </c>
    </row>
    <row r="7">
      <c r="A7" s="18" t="inlineStr"/>
    </row>
    <row r="8">
      <c r="A8" s="19" t="inlineStr">
        <is>
          <t>The 1 to 4 scale (a simple maturity rating, echoing CSF Tiers):</t>
        </is>
      </c>
    </row>
    <row r="9">
      <c r="A9" s="18" t="inlineStr">
        <is>
          <t>1  Initial     Done ad hoc, if at all. No consistency.</t>
        </is>
      </c>
    </row>
    <row r="10">
      <c r="A10" s="18" t="inlineStr">
        <is>
          <t>2  Developing  Happening, but not standardised or complete.</t>
        </is>
      </c>
    </row>
    <row r="11">
      <c r="A11" s="18" t="inlineStr">
        <is>
          <t>3  Defined     Documented, consistent, and followed.</t>
        </is>
      </c>
    </row>
    <row r="12">
      <c r="A12" s="18" t="inlineStr">
        <is>
          <t>4  Managed     Measured, reviewed, and improved over time.</t>
        </is>
      </c>
    </row>
    <row r="13">
      <c r="A13" s="18" t="inlineStr"/>
    </row>
    <row r="14">
      <c r="A14" s="18" t="inlineStr">
        <is>
          <t>This profile assesses the 22 CSF 2.0 Categories across all 6 Functions.</t>
        </is>
      </c>
    </row>
    <row r="15">
      <c r="A15" s="18" t="inlineStr">
        <is>
          <t>The exact Subcategory wording lives in the official CSF 2.0 (CSWP 29) at csrc.nist.gov.</t>
        </is>
      </c>
    </row>
    <row r="16">
      <c r="A16" s="18" t="inlineStr">
        <is>
          <t>These plain-language outcomes are a teaching paraphrase, not the normative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2026-07-03T11:52:54Z</dcterms:created>
  <dcterms:modified xmlns:dcterms="http://purl.org/dc/terms/" xmlns:xsi="http://www.w3.org/2001/XMLSchema-instance" xsi:type="dcterms:W3CDTF">2026-07-03T11:52:54Z</dcterms:modified>
</cp:coreProperties>
</file>