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Assessmen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F6A6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73029"/>
      <sz val="12"/>
    </font>
    <font>
      <name val="Calibri"/>
      <b val="1"/>
      <color rgb="00000000"/>
      <sz val="10"/>
    </font>
    <font>
      <name val="Calibri"/>
      <b val="1"/>
      <color rgb="00173029"/>
      <sz val="13"/>
    </font>
    <font>
      <name val="Calibri"/>
      <color rgb="00000000"/>
      <sz val="11"/>
    </font>
    <font>
      <name val="Calibri"/>
      <b val="1"/>
      <color rgb="00173029"/>
      <sz val="11"/>
    </font>
  </fonts>
  <fills count="5">
    <fill>
      <patternFill/>
    </fill>
    <fill>
      <patternFill patternType="gray125"/>
    </fill>
    <fill>
      <patternFill patternType="solid">
        <fgColor rgb="00173029"/>
      </patternFill>
    </fill>
    <fill>
      <patternFill patternType="solid">
        <fgColor rgb="002E5E4E"/>
      </patternFill>
    </fill>
    <fill>
      <patternFill patternType="solid">
        <fgColor rgb="00F5F7F2"/>
      </patternFill>
    </fill>
  </fills>
  <borders count="2">
    <border>
      <left/>
      <right/>
      <top/>
      <bottom/>
      <diagonal/>
    </border>
    <border>
      <left style="thin">
        <color rgb="00C6D0C2"/>
      </left>
      <right style="thin">
        <color rgb="00C6D0C2"/>
      </right>
      <top style="thin">
        <color rgb="00C6D0C2"/>
      </top>
      <bottom style="thin">
        <color rgb="00C6D0C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8E6DC"/>
        </patternFill>
      </fill>
    </dxf>
    <dxf>
      <fill>
        <patternFill patternType="solid">
          <fgColor rgb="00F3D6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50" customWidth="1" min="5" max="5"/>
    <col width="12" customWidth="1" min="6" max="6"/>
  </cols>
  <sheetData>
    <row r="1" ht="30" customHeight="1">
      <c r="A1" s="1" t="inlineStr">
        <is>
          <t>Meridian Pay  -  Control Effectiveness Assessment (SP 800-53A style)</t>
        </is>
      </c>
    </row>
    <row r="2">
      <c r="A2" s="2" t="inlineStr">
        <is>
          <t>The Assess step. For each control, how you checked it and whether it actually works. Failures feed the POA&amp;M.</t>
        </is>
      </c>
    </row>
    <row r="4" ht="30" customHeight="1">
      <c r="A4" s="3" t="inlineStr">
        <is>
          <t>Control</t>
        </is>
      </c>
      <c r="B4" s="3" t="inlineStr">
        <is>
          <t>Control name</t>
        </is>
      </c>
      <c r="C4" s="3" t="inlineStr">
        <is>
          <t>Assessment method</t>
        </is>
      </c>
      <c r="D4" s="3" t="inlineStr">
        <is>
          <t>Result</t>
        </is>
      </c>
      <c r="E4" s="3" t="inlineStr">
        <is>
          <t>Finding / evidence</t>
        </is>
      </c>
      <c r="F4" s="3" t="inlineStr">
        <is>
          <t>To POA&amp;M?</t>
        </is>
      </c>
    </row>
    <row r="5">
      <c r="A5" s="4" t="inlineStr">
        <is>
          <t>AC-2</t>
        </is>
      </c>
      <c r="B5" s="5" t="inlineStr">
        <is>
          <t>Account Management</t>
        </is>
      </c>
      <c r="C5" s="5" t="inlineStr">
        <is>
          <t>Examine, Interview</t>
        </is>
      </c>
      <c r="D5" s="5" t="inlineStr">
        <is>
          <t>Other than satisfied</t>
        </is>
      </c>
      <c r="E5" s="5" t="inlineStr">
        <is>
          <t>Joiner-mover-leaver works, but no evidence of the quarterly access review</t>
        </is>
      </c>
      <c r="F5" s="4" t="inlineStr">
        <is>
          <t>Yes</t>
        </is>
      </c>
    </row>
    <row r="6">
      <c r="A6" s="6" t="inlineStr">
        <is>
          <t>AC-3</t>
        </is>
      </c>
      <c r="B6" s="7" t="inlineStr">
        <is>
          <t>Access Enforcement</t>
        </is>
      </c>
      <c r="C6" s="7" t="inlineStr">
        <is>
          <t>Test</t>
        </is>
      </c>
      <c r="D6" s="7" t="inlineStr">
        <is>
          <t>Satisfied</t>
        </is>
      </c>
      <c r="E6" s="7" t="inlineStr">
        <is>
          <t>Role-based access tested on the portal, denies unauthorised roles</t>
        </is>
      </c>
      <c r="F6" s="6" t="inlineStr"/>
    </row>
    <row r="7">
      <c r="A7" s="4" t="inlineStr">
        <is>
          <t>AU-6</t>
        </is>
      </c>
      <c r="B7" s="5" t="inlineStr">
        <is>
          <t>Audit Record Review</t>
        </is>
      </c>
      <c r="C7" s="5" t="inlineStr">
        <is>
          <t>Interview</t>
        </is>
      </c>
      <c r="D7" s="5" t="inlineStr">
        <is>
          <t>Other than satisfied</t>
        </is>
      </c>
      <c r="E7" s="5" t="inlineStr">
        <is>
          <t>No regular log-review process; logs are collected but not read</t>
        </is>
      </c>
      <c r="F7" s="4" t="inlineStr">
        <is>
          <t>Yes</t>
        </is>
      </c>
    </row>
    <row r="8">
      <c r="A8" s="6" t="inlineStr">
        <is>
          <t>CP-9</t>
        </is>
      </c>
      <c r="B8" s="7" t="inlineStr">
        <is>
          <t>System Backup</t>
        </is>
      </c>
      <c r="C8" s="7" t="inlineStr">
        <is>
          <t>Test</t>
        </is>
      </c>
      <c r="D8" s="7" t="inlineStr">
        <is>
          <t>Satisfied</t>
        </is>
      </c>
      <c r="E8" s="7" t="inlineStr">
        <is>
          <t>Backups confirmed running and encrypted</t>
        </is>
      </c>
      <c r="F8" s="6" t="inlineStr"/>
    </row>
    <row r="9">
      <c r="A9" s="4" t="inlineStr">
        <is>
          <t>CP-10</t>
        </is>
      </c>
      <c r="B9" s="5" t="inlineStr">
        <is>
          <t>System Recovery</t>
        </is>
      </c>
      <c r="C9" s="5" t="inlineStr">
        <is>
          <t>Test</t>
        </is>
      </c>
      <c r="D9" s="5" t="inlineStr">
        <is>
          <t>Other than satisfied</t>
        </is>
      </c>
      <c r="E9" s="5" t="inlineStr">
        <is>
          <t>A restore was attempted; it worked but is not tested on a schedule</t>
        </is>
      </c>
      <c r="F9" s="4" t="inlineStr">
        <is>
          <t>Yes</t>
        </is>
      </c>
    </row>
    <row r="10">
      <c r="A10" s="6" t="inlineStr">
        <is>
          <t>IA-2</t>
        </is>
      </c>
      <c r="B10" s="7" t="inlineStr">
        <is>
          <t>Identification and Authentication</t>
        </is>
      </c>
      <c r="C10" s="7" t="inlineStr">
        <is>
          <t>Test</t>
        </is>
      </c>
      <c r="D10" s="7" t="inlineStr">
        <is>
          <t>Satisfied</t>
        </is>
      </c>
      <c r="E10" s="7" t="inlineStr">
        <is>
          <t>MFA enforced for all users, verified on a test account</t>
        </is>
      </c>
      <c r="F10" s="6" t="inlineStr"/>
    </row>
    <row r="11">
      <c r="A11" s="4" t="inlineStr">
        <is>
          <t>SC-8</t>
        </is>
      </c>
      <c r="B11" s="5" t="inlineStr">
        <is>
          <t>Transmission Confidentiality</t>
        </is>
      </c>
      <c r="C11" s="5" t="inlineStr">
        <is>
          <t>Test</t>
        </is>
      </c>
      <c r="D11" s="5" t="inlineStr">
        <is>
          <t>Satisfied</t>
        </is>
      </c>
      <c r="E11" s="5" t="inlineStr">
        <is>
          <t>TLS confirmed on all portal endpoints</t>
        </is>
      </c>
      <c r="F11" s="4" t="inlineStr"/>
    </row>
    <row r="12">
      <c r="A12" s="6" t="inlineStr">
        <is>
          <t>SI-2</t>
        </is>
      </c>
      <c r="B12" s="7" t="inlineStr">
        <is>
          <t>Flaw Remediation</t>
        </is>
      </c>
      <c r="C12" s="7" t="inlineStr">
        <is>
          <t>Examine, Interview</t>
        </is>
      </c>
      <c r="D12" s="7" t="inlineStr">
        <is>
          <t>Other than satisfied</t>
        </is>
      </c>
      <c r="E12" s="7" t="inlineStr">
        <is>
          <t>Patching happens, but there is no documented time limit by severity</t>
        </is>
      </c>
      <c r="F12" s="6" t="inlineStr">
        <is>
          <t>Yes</t>
        </is>
      </c>
    </row>
    <row r="13">
      <c r="A13" s="4" t="inlineStr"/>
      <c r="B13" s="5" t="inlineStr"/>
      <c r="C13" s="5" t="inlineStr"/>
      <c r="D13" s="5" t="inlineStr"/>
      <c r="E13" s="5" t="inlineStr"/>
      <c r="F13" s="4" t="inlineStr"/>
    </row>
    <row r="14">
      <c r="A14" s="4" t="inlineStr"/>
      <c r="B14" s="5" t="inlineStr"/>
      <c r="C14" s="5" t="inlineStr"/>
      <c r="D14" s="5" t="inlineStr"/>
      <c r="E14" s="5" t="inlineStr"/>
      <c r="F14" s="4" t="inlineStr"/>
    </row>
    <row r="15">
      <c r="A15" s="4" t="inlineStr"/>
      <c r="B15" s="5" t="inlineStr"/>
      <c r="C15" s="5" t="inlineStr"/>
      <c r="D15" s="5" t="inlineStr"/>
      <c r="E15" s="5" t="inlineStr"/>
      <c r="F15" s="4" t="inlineStr"/>
    </row>
    <row r="16">
      <c r="A16" s="4" t="inlineStr"/>
      <c r="B16" s="5" t="inlineStr"/>
      <c r="C16" s="5" t="inlineStr"/>
      <c r="D16" s="5" t="inlineStr"/>
      <c r="E16" s="5" t="inlineStr"/>
      <c r="F16" s="4" t="inlineStr"/>
    </row>
    <row r="17">
      <c r="A17" s="4" t="inlineStr"/>
      <c r="B17" s="5" t="inlineStr"/>
      <c r="C17" s="5" t="inlineStr"/>
      <c r="D17" s="5" t="inlineStr"/>
      <c r="E17" s="5" t="inlineStr"/>
      <c r="F17" s="4" t="inlineStr"/>
    </row>
    <row r="18">
      <c r="A18" s="4" t="inlineStr"/>
      <c r="B18" s="5" t="inlineStr"/>
      <c r="C18" s="5" t="inlineStr"/>
      <c r="D18" s="5" t="inlineStr"/>
      <c r="E18" s="5" t="inlineStr"/>
      <c r="F18" s="4" t="inlineStr"/>
    </row>
    <row r="20">
      <c r="A20" s="8" t="inlineStr">
        <is>
          <t>Assessment snapshot</t>
        </is>
      </c>
    </row>
    <row r="21">
      <c r="A21" s="5" t="inlineStr">
        <is>
          <t>Satisfied</t>
        </is>
      </c>
      <c r="B21" s="9">
        <f>COUNTIF(D5:D18,"Satisfied")</f>
        <v/>
      </c>
    </row>
    <row r="22">
      <c r="A22" s="5" t="inlineStr">
        <is>
          <t>Other than satisfied</t>
        </is>
      </c>
      <c r="B22" s="9">
        <f>COUNTIF(D5:D18,"Other than satisfied")</f>
        <v/>
      </c>
    </row>
  </sheetData>
  <mergeCells count="2">
    <mergeCell ref="A2:F2"/>
    <mergeCell ref="A1:F1"/>
  </mergeCells>
  <conditionalFormatting sqref="D5:D18">
    <cfRule type="cellIs" priority="1" operator="equal" dxfId="0">
      <formula>"Satisfied"</formula>
    </cfRule>
    <cfRule type="cellIs" priority="2" operator="equal" dxfId="1">
      <formula>"Other than satisfied"</formula>
    </cfRule>
  </conditionalFormatting>
  <dataValidations count="3">
    <dataValidation sqref="C5:C18" showDropDown="0" showInputMessage="0" showErrorMessage="0" allowBlank="1" type="list">
      <formula1>"Examine,Interview,Test,Examine and Interview,Examine and Test"</formula1>
    </dataValidation>
    <dataValidation sqref="D5:D18" showDropDown="0" showInputMessage="0" showErrorMessage="0" allowBlank="1" type="list">
      <formula1>"Satisfied,Other than satisfied,Not assessed"</formula1>
    </dataValidation>
    <dataValidation sqref="F5:F18" showDropDown="0" showInputMessage="0" showErrorMessage="0" allowBlank="1" type="list">
      <formula1>"Yes,No"</formula1>
    </dataValidation>
  </dataValidations>
  <pageMargins left="0.75" right="0.75" top="1" bottom="1" header="0.5" footer="0.5"/>
  <headerFooter>
    <oddHeader/>
    <oddFooter>&amp;LField Notes Lab  -  fictional, for teaching&amp;COmar Mahdy&amp;R&amp;P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0" t="inlineStr">
        <is>
          <t>Assessing whether a control actually works (SP 800-53A)</t>
        </is>
      </c>
    </row>
    <row r="2">
      <c r="A2" s="11" t="inlineStr"/>
    </row>
    <row r="3">
      <c r="A3" s="11" t="inlineStr">
        <is>
          <t>Selecting and implementing a control is not the same as it working. The Assess step checks the difference.</t>
        </is>
      </c>
    </row>
    <row r="4">
      <c r="A4" s="12" t="inlineStr">
        <is>
          <t>SP 800-53A gives three assessment methods:</t>
        </is>
      </c>
    </row>
    <row r="5">
      <c r="A5" s="11" t="inlineStr">
        <is>
          <t>Examine   Look at documents, settings, configurations, records.</t>
        </is>
      </c>
    </row>
    <row r="6">
      <c r="A6" s="11" t="inlineStr">
        <is>
          <t>Interview  Talk to the people who operate the control.</t>
        </is>
      </c>
    </row>
    <row r="7">
      <c r="A7" s="11" t="inlineStr">
        <is>
          <t>Test      Actually exercise the control and watch what it does.</t>
        </is>
      </c>
    </row>
    <row r="8">
      <c r="A8" s="11" t="inlineStr"/>
    </row>
    <row r="9">
      <c r="A9" s="12" t="inlineStr">
        <is>
          <t>Each control gets one of two results:</t>
        </is>
      </c>
    </row>
    <row r="10">
      <c r="A10" s="11" t="inlineStr">
        <is>
          <t>Satisfied              The control is in place and works as intended.</t>
        </is>
      </c>
    </row>
    <row r="11">
      <c r="A11" s="11" t="inlineStr">
        <is>
          <t>Other than satisfied   Something is missing, weak, or unproven. This is a finding.</t>
        </is>
      </c>
    </row>
    <row r="12">
      <c r="A12" s="11" t="inlineStr"/>
    </row>
    <row r="13">
      <c r="A13" s="11" t="inlineStr">
        <is>
          <t>Every 'Other than satisfied' becomes an entry in the POA&amp;M, where it is tracked to closure.</t>
        </is>
      </c>
    </row>
    <row r="14">
      <c r="A14" s="11" t="inlineStr">
        <is>
          <t>That is the whole loop: Select, Implement, Assess, and anything that fails flows into the plan.</t>
        </is>
      </c>
    </row>
    <row r="15">
      <c r="A15" s="11" t="inlineStr"/>
    </row>
    <row r="16">
      <c r="A16" s="11" t="inlineStr">
        <is>
          <t>This sheet assesses a representative set of controls for Meridian's portal. It shows the method,</t>
        </is>
      </c>
    </row>
    <row r="17">
      <c r="A17" s="11" t="inlineStr">
        <is>
          <t>not the full formal assessment, which in real life produces a Security Assessment Report (SAR).</t>
        </is>
      </c>
    </row>
  </sheetData>
  <pageMargins left="0.75" right="0.75" top="1" bottom="1" header="0.5" footer="0.5"/>
  <headerFooter>
    <oddHeader/>
    <oddFooter>&amp;LField Notes Lab  -  fictional, for teaching&amp;COmar Mahdy&amp;R&amp;P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Mahdy</dc:creator>
  <dc:title xmlns:dc="http://purl.org/dc/elements/1.1/">Control assessment (SP 800-53A style)</dc:title>
  <dc:description xmlns:dc="http://purl.org/dc/elements/1.1/">Fictional teaching artifact by Omar Mahdy, Field Notes. Meridian Pay is invented; the NIST structure is real. Not real security advice.</dc:description>
  <dc:subject xmlns:dc="http://purl.org/dc/elements/1.1/">Field Notes Lab (fictional Meridian Pay) - NIST practice artifact</dc:subject>
  <dcterms:created xmlns:dcterms="http://purl.org/dc/terms/" xmlns:xsi="http://www.w3.org/2001/XMLSchema-instance" xsi:type="dcterms:W3CDTF">2026-07-03T12:36:13Z</dcterms:created>
  <dcterms:modified xmlns:dcterms="http://purl.org/dc/terms/" xmlns:xsi="http://www.w3.org/2001/XMLSchema-instance" xsi:type="dcterms:W3CDTF">2026-07-03T12:36:13Z</dcterms:modified>
  <cp:lastModifiedBy>Omar Mahdy</cp:lastModifiedBy>
  <cp:category>Field Notes Lab</cp:category>
  <cp:keywords>NIST, CSF, RMF, FIPS 199, SP 800-53, Field Notes, Omar Mahdy</cp:keywords>
</cp:coreProperties>
</file>